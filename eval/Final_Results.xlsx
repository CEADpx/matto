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an-g8\projects\top_optim\eval\"/>
    </mc:Choice>
  </mc:AlternateContent>
  <xr:revisionPtr revIDLastSave="0" documentId="13_ncr:1_{A3368DF4-5068-46AA-BB0A-D5AE868C53F9}" xr6:coauthVersionLast="47" xr6:coauthVersionMax="47" xr10:uidLastSave="{00000000-0000-0000-0000-000000000000}"/>
  <bookViews>
    <workbookView xWindow="-108" yWindow="-108" windowWidth="23256" windowHeight="13896" xr2:uid="{3A7F9FB1-002B-410C-B375-D447C91048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1" i="1" l="1"/>
  <c r="F31" i="1"/>
  <c r="E31" i="1"/>
  <c r="D31" i="1"/>
  <c r="C31" i="1"/>
  <c r="B31" i="1"/>
  <c r="G30" i="1"/>
  <c r="F30" i="1"/>
  <c r="E30" i="1"/>
  <c r="D30" i="1"/>
  <c r="C30" i="1"/>
  <c r="B30" i="1"/>
  <c r="D10" i="1"/>
  <c r="G10" i="1"/>
  <c r="G11" i="1"/>
  <c r="G12" i="1"/>
  <c r="G13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C10" i="1"/>
  <c r="E10" i="1"/>
  <c r="F10" i="1"/>
  <c r="B10" i="1"/>
</calcChain>
</file>

<file path=xl/sharedStrings.xml><?xml version="1.0" encoding="utf-8"?>
<sst xmlns="http://schemas.openxmlformats.org/spreadsheetml/2006/main" count="61" uniqueCount="22">
  <si>
    <t>Default</t>
  </si>
  <si>
    <t>Guth</t>
  </si>
  <si>
    <t>Mooney</t>
  </si>
  <si>
    <t>Kerner</t>
  </si>
  <si>
    <t>Small</t>
  </si>
  <si>
    <t>Medium</t>
  </si>
  <si>
    <t>Large</t>
  </si>
  <si>
    <t>Load Case</t>
  </si>
  <si>
    <t>LP</t>
  </si>
  <si>
    <t>LPA</t>
  </si>
  <si>
    <t>NH2 Constant</t>
  </si>
  <si>
    <t>Tip</t>
  </si>
  <si>
    <t>Gripper</t>
  </si>
  <si>
    <t>NH1</t>
  </si>
  <si>
    <t>NH2</t>
  </si>
  <si>
    <t>Wheel</t>
  </si>
  <si>
    <t>Geometry</t>
  </si>
  <si>
    <t>Where:</t>
  </si>
  <si>
    <t xml:space="preserve">% Diff = abs( (Ug-Ud)/Ud) </t>
  </si>
  <si>
    <t>Relative Difference from Default (NH2)</t>
  </si>
  <si>
    <t>Hill</t>
  </si>
  <si>
    <t>SVK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</si>
</sst>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Model effect on gripper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Sheet1!$B$19</c:f>
              <c:strCache>
                <c:ptCount val="1"/>
                <c:pt idx="0">
                  <c:v>SVK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Sheet1!$A$20:$A$26</c:f>
              <c:strCache>
                <c:ptCount val="7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Hill</c:v>
                </c:pt>
                <c:pt idx="4">
                  <c:v>Kerner</c:v>
                </c:pt>
                <c:pt idx="5">
                  <c:v>LP</c:v>
                </c:pt>
                <c:pt idx="6">
                  <c:v>LPA</c:v>
                </c:pt>
              </c:strCache>
            </c:strRef>
          </c:cat>
          <c:val>
            <c:numRef>
              <c:f>Sheet1!$B$20:$B$26</c:f>
              <c:numCache>
                <c:formatCode>General</c:formatCode>
                <c:ptCount val="7"/>
                <c:pt idx="0">
                  <c:v>9.8244659297066494</c:v>
                </c:pt>
                <c:pt idx="1">
                  <c:v>7.1216328725202001</c:v>
                </c:pt>
                <c:pt idx="2">
                  <c:v>6.6593933989619503</c:v>
                </c:pt>
                <c:pt idx="3">
                  <c:v>6.2782669680430798</c:v>
                </c:pt>
                <c:pt idx="4">
                  <c:v>8.17196340201785</c:v>
                </c:pt>
                <c:pt idx="5">
                  <c:v>7.7303847693785599</c:v>
                </c:pt>
                <c:pt idx="6">
                  <c:v>7.5034105576629297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B7-4AA5-AB12-3649633E73A0}"/>
            </c:ext>
          </c:extLst>
        </c:ser>
        <c:ser>
          <c:idx val="1"/>
          <c:order val="1"/>
          <c:tx>
            <c:strRef>
              <c:f>Sheet1!$C$19</c:f>
              <c:strCache>
                <c:ptCount val="1"/>
                <c:pt idx="0">
                  <c:v>NH1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Sheet1!$A$20:$A$26</c:f>
              <c:strCache>
                <c:ptCount val="7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Hill</c:v>
                </c:pt>
                <c:pt idx="4">
                  <c:v>Kerner</c:v>
                </c:pt>
                <c:pt idx="5">
                  <c:v>LP</c:v>
                </c:pt>
                <c:pt idx="6">
                  <c:v>LPA</c:v>
                </c:pt>
              </c:strCache>
            </c:strRef>
          </c:cat>
          <c:val>
            <c:numRef>
              <c:f>Sheet1!$C$20:$C$26</c:f>
              <c:numCache>
                <c:formatCode>General</c:formatCode>
                <c:ptCount val="7"/>
                <c:pt idx="0">
                  <c:v>9.7224180529970603</c:v>
                </c:pt>
                <c:pt idx="1">
                  <c:v>7.1373449227254699</c:v>
                </c:pt>
                <c:pt idx="2">
                  <c:v>6.6838920896256004</c:v>
                </c:pt>
                <c:pt idx="3">
                  <c:v>6.3077024160821704</c:v>
                </c:pt>
                <c:pt idx="4">
                  <c:v>8.1558525860663007</c:v>
                </c:pt>
                <c:pt idx="5">
                  <c:v>7.7296829173204999</c:v>
                </c:pt>
                <c:pt idx="6">
                  <c:v>7.5094799929563196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43-495D-B1F0-FCF9CCF7A5B4}"/>
            </c:ext>
          </c:extLst>
        </c:ser>
        <c:ser>
          <c:idx val="2"/>
          <c:order val="2"/>
          <c:tx>
            <c:strRef>
              <c:f>Sheet1!$D$19</c:f>
              <c:strCache>
                <c:ptCount val="1"/>
                <c:pt idx="0">
                  <c:v>NH2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Sheet1!$A$20:$A$26</c:f>
              <c:strCache>
                <c:ptCount val="7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Hill</c:v>
                </c:pt>
                <c:pt idx="4">
                  <c:v>Kerner</c:v>
                </c:pt>
                <c:pt idx="5">
                  <c:v>LP</c:v>
                </c:pt>
                <c:pt idx="6">
                  <c:v>LPA</c:v>
                </c:pt>
              </c:strCache>
            </c:strRef>
          </c:cat>
          <c:val>
            <c:numRef>
              <c:f>Sheet1!$D$20:$D$26</c:f>
              <c:numCache>
                <c:formatCode>General</c:formatCode>
                <c:ptCount val="7"/>
                <c:pt idx="0">
                  <c:v>9.7234960825768297</c:v>
                </c:pt>
                <c:pt idx="1">
                  <c:v>7.13992117567118</c:v>
                </c:pt>
                <c:pt idx="2">
                  <c:v>6.6868031512495696</c:v>
                </c:pt>
                <c:pt idx="3">
                  <c:v>6.3109014900087397</c:v>
                </c:pt>
                <c:pt idx="4">
                  <c:v>8.1577491532673392</c:v>
                </c:pt>
                <c:pt idx="5">
                  <c:v>7.7318502195569998</c:v>
                </c:pt>
                <c:pt idx="6">
                  <c:v>7.5117951079559404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43-495D-B1F0-FCF9CCF7A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0574927"/>
        <c:axId val="391670767"/>
      </c:barChart>
      <c:catAx>
        <c:axId val="20105749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Shear modulus 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670767"/>
        <c:crosses val="autoZero"/>
        <c:auto val="1"/>
        <c:lblAlgn val="ctr"/>
        <c:lblOffset val="100"/>
        <c:noMultiLvlLbl val="0"/>
      </c:catAx>
      <c:valAx>
        <c:axId val="39167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displacement measure, Qₘ (mm)</a:t>
                </a:r>
              </a:p>
            </c:rich>
          </c:tx>
          <c:layout>
            <c:manualLayout>
              <c:xMode val="edge"/>
              <c:yMode val="edge"/>
              <c:x val="2.2341607131194711E-2"/>
              <c:y val="0.14953832613770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57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Model effect</a:t>
            </a:r>
            <a:r>
              <a:rPr lang="en-US" sz="1100" baseline="0"/>
              <a:t> on w</a:t>
            </a:r>
            <a:r>
              <a:rPr lang="en-US" sz="1100"/>
              <a:t>heel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Sheet1!$G$19</c:f>
              <c:strCache>
                <c:ptCount val="1"/>
                <c:pt idx="0">
                  <c:v>SVK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Sheet1!$F$20:$F$26</c:f>
              <c:strCache>
                <c:ptCount val="7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Hill</c:v>
                </c:pt>
                <c:pt idx="4">
                  <c:v>Kerner</c:v>
                </c:pt>
                <c:pt idx="5">
                  <c:v>LP</c:v>
                </c:pt>
                <c:pt idx="6">
                  <c:v>LPA</c:v>
                </c:pt>
              </c:strCache>
            </c:strRef>
          </c:cat>
          <c:val>
            <c:numRef>
              <c:f>Sheet1!$G$20:$G$26</c:f>
              <c:numCache>
                <c:formatCode>General</c:formatCode>
                <c:ptCount val="7"/>
                <c:pt idx="0">
                  <c:v>18.999836109635002</c:v>
                </c:pt>
                <c:pt idx="1">
                  <c:v>17.9942031022752</c:v>
                </c:pt>
                <c:pt idx="2">
                  <c:v>17.898851255607799</c:v>
                </c:pt>
                <c:pt idx="3">
                  <c:v>17.828724632559101</c:v>
                </c:pt>
                <c:pt idx="4">
                  <c:v>18.273403916763399</c:v>
                </c:pt>
                <c:pt idx="5">
                  <c:v>18.144490048353099</c:v>
                </c:pt>
                <c:pt idx="6">
                  <c:v>18.0848329565383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4E-418F-9027-C997ED6BAEF6}"/>
            </c:ext>
          </c:extLst>
        </c:ser>
        <c:ser>
          <c:idx val="1"/>
          <c:order val="1"/>
          <c:tx>
            <c:strRef>
              <c:f>Sheet1!$H$19</c:f>
              <c:strCache>
                <c:ptCount val="1"/>
                <c:pt idx="0">
                  <c:v>NH1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Sheet1!$F$20:$F$26</c:f>
              <c:strCache>
                <c:ptCount val="7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Hill</c:v>
                </c:pt>
                <c:pt idx="4">
                  <c:v>Kerner</c:v>
                </c:pt>
                <c:pt idx="5">
                  <c:v>LP</c:v>
                </c:pt>
                <c:pt idx="6">
                  <c:v>LPA</c:v>
                </c:pt>
              </c:strCache>
            </c:strRef>
          </c:cat>
          <c:val>
            <c:numRef>
              <c:f>Sheet1!$H$20:$H$26</c:f>
              <c:numCache>
                <c:formatCode>General</c:formatCode>
                <c:ptCount val="7"/>
                <c:pt idx="0">
                  <c:v>18.960935417712399</c:v>
                </c:pt>
                <c:pt idx="1">
                  <c:v>17.929346810569498</c:v>
                </c:pt>
                <c:pt idx="2">
                  <c:v>17.829620432322201</c:v>
                </c:pt>
                <c:pt idx="3">
                  <c:v>17.755691809499801</c:v>
                </c:pt>
                <c:pt idx="4">
                  <c:v>18.218137121061599</c:v>
                </c:pt>
                <c:pt idx="5">
                  <c:v>18.085211123354199</c:v>
                </c:pt>
                <c:pt idx="6">
                  <c:v>18.023485724756899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4E-418F-9027-C997ED6BAEF6}"/>
            </c:ext>
          </c:extLst>
        </c:ser>
        <c:ser>
          <c:idx val="2"/>
          <c:order val="2"/>
          <c:tx>
            <c:strRef>
              <c:f>Sheet1!$I$19</c:f>
              <c:strCache>
                <c:ptCount val="1"/>
                <c:pt idx="0">
                  <c:v>NH2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Sheet1!$F$20:$F$26</c:f>
              <c:strCache>
                <c:ptCount val="7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Hill</c:v>
                </c:pt>
                <c:pt idx="4">
                  <c:v>Kerner</c:v>
                </c:pt>
                <c:pt idx="5">
                  <c:v>LP</c:v>
                </c:pt>
                <c:pt idx="6">
                  <c:v>LPA</c:v>
                </c:pt>
              </c:strCache>
            </c:strRef>
          </c:cat>
          <c:val>
            <c:numRef>
              <c:f>Sheet1!$I$20:$I$26</c:f>
              <c:numCache>
                <c:formatCode>General</c:formatCode>
                <c:ptCount val="7"/>
                <c:pt idx="0">
                  <c:v>18.953478159908499</c:v>
                </c:pt>
                <c:pt idx="1">
                  <c:v>17.933775911685199</c:v>
                </c:pt>
                <c:pt idx="2">
                  <c:v>17.837091601035802</c:v>
                </c:pt>
                <c:pt idx="3">
                  <c:v>17.765996232382701</c:v>
                </c:pt>
                <c:pt idx="4">
                  <c:v>18.216916221474101</c:v>
                </c:pt>
                <c:pt idx="5">
                  <c:v>18.086176589070998</c:v>
                </c:pt>
                <c:pt idx="6">
                  <c:v>18.025678930195902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4E-418F-9027-C997ED6BA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5417007"/>
        <c:axId val="391661647"/>
      </c:barChart>
      <c:catAx>
        <c:axId val="6354170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Shear modulus 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661647"/>
        <c:crosses val="autoZero"/>
        <c:auto val="1"/>
        <c:lblAlgn val="ctr"/>
        <c:lblOffset val="100"/>
        <c:noMultiLvlLbl val="0"/>
      </c:catAx>
      <c:valAx>
        <c:axId val="39166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displacement measure, Qₘ (mm)</a:t>
                </a:r>
              </a:p>
            </c:rich>
          </c:tx>
          <c:layout>
            <c:manualLayout>
              <c:xMode val="edge"/>
              <c:yMode val="edge"/>
              <c:x val="1.9570195362942373E-2"/>
              <c:y val="0.154149492995465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541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Model effect on beam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Default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Sheet1!$A$3:$A$6</c:f>
              <c:strCache>
                <c:ptCount val="4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  <c:pt idx="3">
                  <c:v>Tip</c:v>
                </c:pt>
              </c:strCache>
            </c:strRef>
          </c:cat>
          <c:val>
            <c:numRef>
              <c:f>Sheet1!$B$3:$B$6</c:f>
              <c:numCache>
                <c:formatCode>General</c:formatCode>
                <c:ptCount val="4"/>
                <c:pt idx="0">
                  <c:v>1.3895611944545101</c:v>
                </c:pt>
                <c:pt idx="1">
                  <c:v>4.70931514688424</c:v>
                </c:pt>
                <c:pt idx="2">
                  <c:v>9.3909205349798395</c:v>
                </c:pt>
                <c:pt idx="3">
                  <c:v>4.4203874392245099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15-4D64-9281-AB08C4F0A76D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Guth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Sheet1!$A$3:$A$6</c:f>
              <c:strCache>
                <c:ptCount val="4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  <c:pt idx="3">
                  <c:v>Tip</c:v>
                </c:pt>
              </c:strCache>
            </c:strRef>
          </c:cat>
          <c:val>
            <c:numRef>
              <c:f>Sheet1!$C$3:$C$6</c:f>
              <c:numCache>
                <c:formatCode>General</c:formatCode>
                <c:ptCount val="4"/>
                <c:pt idx="0">
                  <c:v>0.48453066402455303</c:v>
                </c:pt>
                <c:pt idx="1">
                  <c:v>1.89002910510055</c:v>
                </c:pt>
                <c:pt idx="2">
                  <c:v>5.8561611945997702</c:v>
                </c:pt>
                <c:pt idx="3">
                  <c:v>4.4381703570595796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15-4D64-9281-AB08C4F0A76D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Mooney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Sheet1!$A$3:$A$6</c:f>
              <c:strCache>
                <c:ptCount val="4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  <c:pt idx="3">
                  <c:v>Tip</c:v>
                </c:pt>
              </c:strCache>
            </c:strRef>
          </c:cat>
          <c:val>
            <c:numRef>
              <c:f>Sheet1!$D$3:$D$6</c:f>
              <c:numCache>
                <c:formatCode>General</c:formatCode>
                <c:ptCount val="4"/>
                <c:pt idx="0">
                  <c:v>0.41685443010163098</c:v>
                </c:pt>
                <c:pt idx="1">
                  <c:v>1.6364320804784001</c:v>
                </c:pt>
                <c:pt idx="2">
                  <c:v>5.31695784908832</c:v>
                </c:pt>
                <c:pt idx="3">
                  <c:v>4.43961470353669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15-4D64-9281-AB08C4F0A76D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Hill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Sheet1!$A$3:$A$6</c:f>
              <c:strCache>
                <c:ptCount val="4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  <c:pt idx="3">
                  <c:v>Tip</c:v>
                </c:pt>
              </c:strCache>
            </c:strRef>
          </c:cat>
          <c:val>
            <c:numRef>
              <c:f>Sheet1!$E$3:$E$6</c:f>
              <c:numCache>
                <c:formatCode>General</c:formatCode>
                <c:ptCount val="4"/>
                <c:pt idx="0">
                  <c:v>0.36905398128043698</c:v>
                </c:pt>
                <c:pt idx="1">
                  <c:v>1.45456229910751</c:v>
                </c:pt>
                <c:pt idx="2">
                  <c:v>4.88857483724105</c:v>
                </c:pt>
                <c:pt idx="3">
                  <c:v>4.4406803791778398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15-4D64-9281-AB08C4F0A76D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Kerner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Sheet1!$A$3:$A$6</c:f>
              <c:strCache>
                <c:ptCount val="4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  <c:pt idx="3">
                  <c:v>Tip</c:v>
                </c:pt>
              </c:strCache>
            </c:strRef>
          </c:cat>
          <c:val>
            <c:numRef>
              <c:f>Sheet1!$F$3:$F$6</c:f>
              <c:numCache>
                <c:formatCode>General</c:formatCode>
                <c:ptCount val="4"/>
                <c:pt idx="0">
                  <c:v>0.69650778599999996</c:v>
                </c:pt>
                <c:pt idx="1">
                  <c:v>2.6499463840000002</c:v>
                </c:pt>
                <c:pt idx="2">
                  <c:v>7.154769494</c:v>
                </c:pt>
                <c:pt idx="3">
                  <c:v>4.4336164349900598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15-4D64-9281-AB08C4F0A76D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  <c:pt idx="0">
                  <c:v>LP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Sheet1!$A$3:$A$6</c:f>
              <c:strCache>
                <c:ptCount val="4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  <c:pt idx="3">
                  <c:v>Tip</c:v>
                </c:pt>
              </c:strCache>
            </c:strRef>
          </c:cat>
          <c:val>
            <c:numRef>
              <c:f>Sheet1!$G$3:$G$6</c:f>
              <c:numCache>
                <c:formatCode>General</c:formatCode>
                <c:ptCount val="4"/>
                <c:pt idx="0">
                  <c:v>0.59520169406391599</c:v>
                </c:pt>
                <c:pt idx="1">
                  <c:v>2.2937069970340298</c:v>
                </c:pt>
                <c:pt idx="2">
                  <c:v>6.5969477717673701</c:v>
                </c:pt>
                <c:pt idx="3">
                  <c:v>4.4357324774038096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15-4D64-9281-AB08C4F0A76D}"/>
            </c:ext>
          </c:extLst>
        </c:ser>
        <c:ser>
          <c:idx val="6"/>
          <c:order val="6"/>
          <c:tx>
            <c:strRef>
              <c:f>Sheet1!$H$2</c:f>
              <c:strCache>
                <c:ptCount val="1"/>
                <c:pt idx="0">
                  <c:v>LPA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Sheet1!$A$3:$A$6</c:f>
              <c:strCache>
                <c:ptCount val="4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  <c:pt idx="3">
                  <c:v>Tip</c:v>
                </c:pt>
              </c:strCache>
            </c:strRef>
          </c:cat>
          <c:val>
            <c:numRef>
              <c:f>Sheet1!$H$3:$H$6</c:f>
              <c:numCache>
                <c:formatCode>General</c:formatCode>
                <c:ptCount val="4"/>
                <c:pt idx="0">
                  <c:v>0.55056005375619499</c:v>
                </c:pt>
                <c:pt idx="1">
                  <c:v>2.13261506819175</c:v>
                </c:pt>
                <c:pt idx="2">
                  <c:v>6.3168236910215301</c:v>
                </c:pt>
                <c:pt idx="3">
                  <c:v>4.4367143228592703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15-4D64-9281-AB08C4F0A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8401952"/>
        <c:axId val="1651114896"/>
      </c:barChart>
      <c:catAx>
        <c:axId val="2038401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Load case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114896"/>
        <c:crosses val="autoZero"/>
        <c:auto val="1"/>
        <c:lblAlgn val="ctr"/>
        <c:lblOffset val="100"/>
        <c:noMultiLvlLbl val="0"/>
      </c:catAx>
      <c:valAx>
        <c:axId val="165111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Free-End Displacement Magnitude, Qₘ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840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386081</xdr:colOff>
      <xdr:row>32</xdr:row>
      <xdr:rowOff>169757</xdr:rowOff>
    </xdr:from>
    <xdr:to>
      <xdr:col>13</xdr:col>
      <xdr:colOff>77047</xdr:colOff>
      <xdr:row>47</xdr:row>
      <xdr:rowOff>169757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42AF93-5596-AB77-AEA1-DA9AD1EBC6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421640</xdr:colOff>
      <xdr:row>34</xdr:row>
      <xdr:rowOff>85090</xdr:rowOff>
    </xdr:from>
    <xdr:to>
      <xdr:col>21</xdr:col>
      <xdr:colOff>116841</xdr:colOff>
      <xdr:row>49</xdr:row>
      <xdr:rowOff>85090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E7D27D-0D3B-530E-64D5-B895DF9692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10991</xdr:colOff>
      <xdr:row>2</xdr:row>
      <xdr:rowOff>5862</xdr:rowOff>
    </xdr:from>
    <xdr:to>
      <xdr:col>17</xdr:col>
      <xdr:colOff>326048</xdr:colOff>
      <xdr:row>17</xdr:row>
      <xdr:rowOff>1466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82E8AA-3DEB-43C2-1E2D-3CA12C52A7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11</xdr:col>
      <xdr:colOff>268077</xdr:colOff>
      <xdr:row>54</xdr:row>
      <xdr:rowOff>52329</xdr:rowOff>
    </xdr:from>
    <xdr:ext cx="22422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EB7D51B-9DDC-F3B0-A3CC-A919500A8097}"/>
                </a:ext>
              </a:extLst>
            </xdr:cNvPr>
            <xdr:cNvSpPr txBox="1"/>
          </xdr:nvSpPr>
          <xdr:spPr>
            <a:xfrm>
              <a:off x="8181860" y="9967510"/>
              <a:ext cx="22422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m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EB7D51B-9DDC-F3B0-A3CC-A919500A8097}"/>
                </a:ext>
              </a:extLst>
            </xdr:cNvPr>
            <xdr:cNvSpPr txBox="1"/>
          </xdr:nvSpPr>
          <xdr:spPr>
            <a:xfrm>
              <a:off x="8181860" y="9967510"/>
              <a:ext cx="22422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Q_m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9910B-14B0-45DF-9EF7-8E53608CE1DC}">
  <dimension ref="A1:I33"/>
  <sheetViews>
    <sheetView tabSelected="1" topLeftCell="A13" zoomScale="76" zoomScaleNormal="100" workbookViewId="0">
      <selection activeCell="I24" sqref="I24"/>
    </sheetView>
  </sheetViews>
  <sheetFormatPr defaultRowHeight="14.4" x14ac:dyDescent="0.3"/>
  <cols>
    <col min="1" max="1" width="16.6640625" customWidth="1"/>
    <col min="2" max="2" width="10.77734375" customWidth="1"/>
    <col min="3" max="3" width="11.44140625" customWidth="1"/>
    <col min="4" max="4" width="12.6640625" customWidth="1"/>
    <col min="5" max="5" width="10.5546875" customWidth="1"/>
    <col min="6" max="6" width="9" customWidth="1"/>
  </cols>
  <sheetData>
    <row r="1" spans="1:8" x14ac:dyDescent="0.3">
      <c r="A1" t="s">
        <v>10</v>
      </c>
    </row>
    <row r="2" spans="1:8" x14ac:dyDescent="0.3">
      <c r="A2" t="s">
        <v>7</v>
      </c>
      <c r="B2" t="s">
        <v>0</v>
      </c>
      <c r="C2" t="s">
        <v>1</v>
      </c>
      <c r="D2" t="s">
        <v>2</v>
      </c>
      <c r="E2" t="s">
        <v>20</v>
      </c>
      <c r="F2" t="s">
        <v>3</v>
      </c>
      <c r="G2" t="s">
        <v>8</v>
      </c>
      <c r="H2" t="s">
        <v>9</v>
      </c>
    </row>
    <row r="3" spans="1:8" x14ac:dyDescent="0.3">
      <c r="A3" t="s">
        <v>4</v>
      </c>
      <c r="B3">
        <v>1.3895611944545101</v>
      </c>
      <c r="C3">
        <v>0.48453066402455303</v>
      </c>
      <c r="D3">
        <v>0.41685443010163098</v>
      </c>
      <c r="E3">
        <v>0.36905398128043698</v>
      </c>
      <c r="F3">
        <v>0.69650778599999996</v>
      </c>
      <c r="G3">
        <v>0.59520169406391599</v>
      </c>
      <c r="H3">
        <v>0.55056005375619499</v>
      </c>
    </row>
    <row r="4" spans="1:8" x14ac:dyDescent="0.3">
      <c r="A4" t="s">
        <v>5</v>
      </c>
      <c r="B4">
        <v>4.70931514688424</v>
      </c>
      <c r="C4">
        <v>1.89002910510055</v>
      </c>
      <c r="D4">
        <v>1.6364320804784001</v>
      </c>
      <c r="E4">
        <v>1.45456229910751</v>
      </c>
      <c r="F4">
        <v>2.6499463840000002</v>
      </c>
      <c r="G4">
        <v>2.2937069970340298</v>
      </c>
      <c r="H4">
        <v>2.13261506819175</v>
      </c>
    </row>
    <row r="5" spans="1:8" x14ac:dyDescent="0.3">
      <c r="A5" t="s">
        <v>6</v>
      </c>
      <c r="B5">
        <v>9.3909205349798395</v>
      </c>
      <c r="C5">
        <v>5.8561611945997702</v>
      </c>
      <c r="D5">
        <v>5.31695784908832</v>
      </c>
      <c r="E5">
        <v>4.88857483724105</v>
      </c>
      <c r="F5">
        <v>7.154769494</v>
      </c>
      <c r="G5">
        <v>6.5969477717673701</v>
      </c>
      <c r="H5">
        <v>6.3168236910215301</v>
      </c>
    </row>
    <row r="6" spans="1:8" x14ac:dyDescent="0.3">
      <c r="A6" t="s">
        <v>11</v>
      </c>
      <c r="B6">
        <v>4.4203874392245099</v>
      </c>
      <c r="C6">
        <v>4.4381703570595796</v>
      </c>
      <c r="D6">
        <v>4.43961470353669</v>
      </c>
      <c r="E6">
        <v>4.4406803791778398</v>
      </c>
      <c r="F6">
        <v>4.4336164349900598</v>
      </c>
      <c r="G6">
        <v>4.4357324774038096</v>
      </c>
      <c r="H6">
        <v>4.4367143228592703</v>
      </c>
    </row>
    <row r="8" spans="1:8" x14ac:dyDescent="0.3">
      <c r="A8" s="1" t="s">
        <v>19</v>
      </c>
    </row>
    <row r="9" spans="1:8" x14ac:dyDescent="0.3">
      <c r="A9" t="s">
        <v>7</v>
      </c>
      <c r="B9" t="s">
        <v>1</v>
      </c>
      <c r="C9" t="s">
        <v>2</v>
      </c>
      <c r="D9" t="s">
        <v>20</v>
      </c>
      <c r="E9" t="s">
        <v>3</v>
      </c>
      <c r="F9" t="s">
        <v>8</v>
      </c>
      <c r="G9" t="s">
        <v>9</v>
      </c>
    </row>
    <row r="10" spans="1:8" x14ac:dyDescent="0.3">
      <c r="A10" t="s">
        <v>4</v>
      </c>
      <c r="B10" s="2">
        <f t="shared" ref="B10:E13" si="0">ABS((C3-$B3)/$B3)</f>
        <v>0.65130671037862298</v>
      </c>
      <c r="C10" s="2">
        <f t="shared" si="0"/>
        <v>0.70001002347703545</v>
      </c>
      <c r="D10" s="2">
        <f>ABS((E3-$B3)/$B3)</f>
        <v>0.73440969512298893</v>
      </c>
      <c r="E10" s="2">
        <f t="shared" si="0"/>
        <v>0.49875702575774439</v>
      </c>
      <c r="F10" s="2">
        <f t="shared" ref="F10:G13" si="1">ABS((G3-$B3)/$B3)</f>
        <v>0.57166212151054641</v>
      </c>
      <c r="G10" s="2">
        <f t="shared" si="1"/>
        <v>0.60378855141221444</v>
      </c>
    </row>
    <row r="11" spans="1:8" x14ac:dyDescent="0.3">
      <c r="A11" t="s">
        <v>5</v>
      </c>
      <c r="B11" s="2">
        <f t="shared" si="0"/>
        <v>0.59866157898754679</v>
      </c>
      <c r="C11" s="2">
        <f t="shared" si="0"/>
        <v>0.65251166476699052</v>
      </c>
      <c r="D11" s="2">
        <f t="shared" si="0"/>
        <v>0.69113082184150021</v>
      </c>
      <c r="E11" s="2">
        <f t="shared" si="0"/>
        <v>0.4372968677296426</v>
      </c>
      <c r="F11" s="2">
        <f t="shared" si="1"/>
        <v>0.51294255629683572</v>
      </c>
      <c r="G11" s="2">
        <f t="shared" si="1"/>
        <v>0.54714963817982687</v>
      </c>
    </row>
    <row r="12" spans="1:8" x14ac:dyDescent="0.3">
      <c r="A12" t="s">
        <v>6</v>
      </c>
      <c r="B12" s="2">
        <f t="shared" si="0"/>
        <v>0.37640179439423377</v>
      </c>
      <c r="C12" s="2">
        <f t="shared" si="0"/>
        <v>0.43381931203832358</v>
      </c>
      <c r="D12" s="2">
        <f t="shared" si="0"/>
        <v>0.47943603408933066</v>
      </c>
      <c r="E12" s="2">
        <f t="shared" si="0"/>
        <v>0.23811840731166831</v>
      </c>
      <c r="F12" s="2">
        <f t="shared" si="1"/>
        <v>0.29751851831833942</v>
      </c>
      <c r="G12" s="2">
        <f t="shared" si="1"/>
        <v>0.32734776452507902</v>
      </c>
    </row>
    <row r="13" spans="1:8" x14ac:dyDescent="0.3">
      <c r="A13" t="s">
        <v>11</v>
      </c>
      <c r="B13" s="2">
        <f t="shared" si="0"/>
        <v>4.0229319442165084E-3</v>
      </c>
      <c r="C13" s="2">
        <f t="shared" si="0"/>
        <v>4.3496785240058414E-3</v>
      </c>
      <c r="D13" s="2">
        <f t="shared" si="0"/>
        <v>4.5907604779751848E-3</v>
      </c>
      <c r="E13" s="2">
        <f t="shared" si="0"/>
        <v>2.9927231373797041E-3</v>
      </c>
      <c r="F13" s="2">
        <f t="shared" si="1"/>
        <v>3.4714238039712914E-3</v>
      </c>
      <c r="G13" s="2">
        <f t="shared" si="1"/>
        <v>3.6935413149270504E-3</v>
      </c>
    </row>
    <row r="15" spans="1:8" x14ac:dyDescent="0.3">
      <c r="A15" s="1" t="s">
        <v>17</v>
      </c>
      <c r="B15" s="1" t="s">
        <v>18</v>
      </c>
      <c r="C15" s="1"/>
    </row>
    <row r="18" spans="1:9" x14ac:dyDescent="0.3">
      <c r="A18" t="s">
        <v>15</v>
      </c>
      <c r="F18" t="s">
        <v>12</v>
      </c>
    </row>
    <row r="19" spans="1:9" x14ac:dyDescent="0.3">
      <c r="B19" t="s">
        <v>21</v>
      </c>
      <c r="C19" t="s">
        <v>13</v>
      </c>
      <c r="D19" t="s">
        <v>14</v>
      </c>
      <c r="G19" t="s">
        <v>21</v>
      </c>
      <c r="H19" t="s">
        <v>13</v>
      </c>
      <c r="I19" t="s">
        <v>14</v>
      </c>
    </row>
    <row r="20" spans="1:9" x14ac:dyDescent="0.3">
      <c r="A20" t="s">
        <v>0</v>
      </c>
      <c r="B20">
        <v>9.8244659297066494</v>
      </c>
      <c r="C20">
        <v>9.7224180529970603</v>
      </c>
      <c r="D20">
        <v>9.7234960825768297</v>
      </c>
      <c r="F20" t="s">
        <v>0</v>
      </c>
      <c r="G20">
        <v>18.999836109635002</v>
      </c>
      <c r="H20">
        <v>18.960935417712399</v>
      </c>
      <c r="I20">
        <v>18.953478159908499</v>
      </c>
    </row>
    <row r="21" spans="1:9" x14ac:dyDescent="0.3">
      <c r="A21" t="s">
        <v>1</v>
      </c>
      <c r="B21">
        <v>7.1216328725202001</v>
      </c>
      <c r="C21">
        <v>7.1373449227254699</v>
      </c>
      <c r="D21">
        <v>7.13992117567118</v>
      </c>
      <c r="F21" t="s">
        <v>1</v>
      </c>
      <c r="G21">
        <v>17.9942031022752</v>
      </c>
      <c r="H21">
        <v>17.929346810569498</v>
      </c>
      <c r="I21">
        <v>17.933775911685199</v>
      </c>
    </row>
    <row r="22" spans="1:9" x14ac:dyDescent="0.3">
      <c r="A22" t="s">
        <v>2</v>
      </c>
      <c r="B22">
        <v>6.6593933989619503</v>
      </c>
      <c r="C22">
        <v>6.6838920896256004</v>
      </c>
      <c r="D22">
        <v>6.6868031512495696</v>
      </c>
      <c r="F22" t="s">
        <v>2</v>
      </c>
      <c r="G22">
        <v>17.898851255607799</v>
      </c>
      <c r="H22">
        <v>17.829620432322201</v>
      </c>
      <c r="I22">
        <v>17.837091601035802</v>
      </c>
    </row>
    <row r="23" spans="1:9" x14ac:dyDescent="0.3">
      <c r="A23" t="s">
        <v>20</v>
      </c>
      <c r="B23">
        <v>6.2782669680430798</v>
      </c>
      <c r="C23">
        <v>6.3077024160821704</v>
      </c>
      <c r="D23">
        <v>6.3109014900087397</v>
      </c>
      <c r="F23" t="s">
        <v>20</v>
      </c>
      <c r="G23">
        <v>17.828724632559101</v>
      </c>
      <c r="H23">
        <v>17.755691809499801</v>
      </c>
      <c r="I23">
        <v>17.765996232382701</v>
      </c>
    </row>
    <row r="24" spans="1:9" x14ac:dyDescent="0.3">
      <c r="A24" t="s">
        <v>3</v>
      </c>
      <c r="B24">
        <v>8.17196340201785</v>
      </c>
      <c r="C24">
        <v>8.1558525860663007</v>
      </c>
      <c r="D24">
        <v>8.1577491532673392</v>
      </c>
      <c r="F24" t="s">
        <v>3</v>
      </c>
      <c r="G24">
        <v>18.273403916763399</v>
      </c>
      <c r="H24">
        <v>18.218137121061599</v>
      </c>
      <c r="I24">
        <v>18.216916221474101</v>
      </c>
    </row>
    <row r="25" spans="1:9" x14ac:dyDescent="0.3">
      <c r="A25" t="s">
        <v>8</v>
      </c>
      <c r="B25">
        <v>7.7303847693785599</v>
      </c>
      <c r="C25">
        <v>7.7296829173204999</v>
      </c>
      <c r="D25">
        <v>7.7318502195569998</v>
      </c>
      <c r="F25" t="s">
        <v>8</v>
      </c>
      <c r="G25">
        <v>18.144490048353099</v>
      </c>
      <c r="H25">
        <v>18.085211123354199</v>
      </c>
      <c r="I25">
        <v>18.086176589070998</v>
      </c>
    </row>
    <row r="26" spans="1:9" x14ac:dyDescent="0.3">
      <c r="A26" t="s">
        <v>9</v>
      </c>
      <c r="B26">
        <v>7.5034105576629297</v>
      </c>
      <c r="C26">
        <v>7.5094799929563196</v>
      </c>
      <c r="D26">
        <v>7.5117951079559404</v>
      </c>
      <c r="F26" t="s">
        <v>9</v>
      </c>
      <c r="G26">
        <v>18.0848329565383</v>
      </c>
      <c r="H26">
        <v>18.023485724756899</v>
      </c>
      <c r="I26">
        <v>18.025678930195902</v>
      </c>
    </row>
    <row r="28" spans="1:9" x14ac:dyDescent="0.3">
      <c r="A28" s="1" t="s">
        <v>19</v>
      </c>
    </row>
    <row r="29" spans="1:9" x14ac:dyDescent="0.3">
      <c r="A29" t="s">
        <v>16</v>
      </c>
      <c r="B29" t="s">
        <v>1</v>
      </c>
      <c r="C29" t="s">
        <v>2</v>
      </c>
      <c r="D29" t="s">
        <v>20</v>
      </c>
      <c r="E29" t="s">
        <v>3</v>
      </c>
      <c r="F29" t="s">
        <v>8</v>
      </c>
      <c r="G29" t="s">
        <v>9</v>
      </c>
    </row>
    <row r="30" spans="1:9" x14ac:dyDescent="0.3">
      <c r="A30" t="s">
        <v>15</v>
      </c>
      <c r="B30" s="2">
        <f>ABS((D21-D20)/D20)</f>
        <v>0.26570431920418636</v>
      </c>
      <c r="C30" s="2">
        <f>ABS((D22-D20)/D20)</f>
        <v>0.31230463873673964</v>
      </c>
      <c r="D30" s="2">
        <f>ABS((D23-D20)/D20)</f>
        <v>0.35096374427331656</v>
      </c>
      <c r="E30" s="2">
        <f>ABS((D24-D20)/D20)</f>
        <v>0.16102715690039657</v>
      </c>
      <c r="F30" s="2">
        <f>ABS((D25-D20)/D20)</f>
        <v>0.20482816531274034</v>
      </c>
      <c r="G30" s="2">
        <f>ABS((D26-D20)/D20)</f>
        <v>0.22745944008595365</v>
      </c>
    </row>
    <row r="31" spans="1:9" x14ac:dyDescent="0.3">
      <c r="A31" t="s">
        <v>12</v>
      </c>
      <c r="B31" s="2">
        <f>ABS((I21-I20)/I20)</f>
        <v>5.3800270305016301E-2</v>
      </c>
      <c r="C31" s="2">
        <f>ABS((I22-I20)/I20)</f>
        <v>5.8901408462017468E-2</v>
      </c>
      <c r="D31" s="2">
        <f>ABS((I23-I20)/I20)</f>
        <v>6.2652454473376251E-2</v>
      </c>
      <c r="E31" s="2">
        <f>ABS((I24-I20)/I20)</f>
        <v>3.8861571064693408E-2</v>
      </c>
      <c r="F31" s="2">
        <f>ABS((I25-I20)/I20)</f>
        <v>4.5759494036934495E-2</v>
      </c>
      <c r="G31" s="2">
        <f>ABS((I26-I20)/I20)</f>
        <v>4.8951396777143129E-2</v>
      </c>
    </row>
    <row r="33" spans="1:3" x14ac:dyDescent="0.3">
      <c r="A33" s="1" t="s">
        <v>17</v>
      </c>
      <c r="B33" s="1" t="s">
        <v>18</v>
      </c>
      <c r="C33" s="1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Galloway, Ian B. - SDSMT Student</dc:creator>
  <cp:lastModifiedBy>Galloway, Ian B. - SDSMT Student</cp:lastModifiedBy>
  <dcterms:created xsi:type="dcterms:W3CDTF">2026-06-30T19:44:24Z</dcterms:created>
  <dcterms:modified xsi:type="dcterms:W3CDTF">2026-07-13T20:16:51Z</dcterms:modified>
</cp:coreProperties>
</file>