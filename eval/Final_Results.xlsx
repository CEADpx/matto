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ian-g8\projects\FinalTop\eval\"/>
    </mc:Choice>
  </mc:AlternateContent>
  <xr:revisionPtr revIDLastSave="0" documentId="13_ncr:1_{2C94092A-4D4E-4EFD-A51A-96F9A0D8E433}" xr6:coauthVersionLast="47" xr6:coauthVersionMax="47" xr10:uidLastSave="{00000000-0000-0000-0000-000000000000}"/>
  <bookViews>
    <workbookView xWindow="-108" yWindow="-108" windowWidth="23256" windowHeight="13896" xr2:uid="{DC97868F-0C32-49C4-BD1D-CDEEAEA189B3}"/>
  </bookViews>
  <sheets>
    <sheet name="Wheel_Gripper_Comparison" sheetId="1" r:id="rId1"/>
    <sheet name="Beam_Comparison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12" i="2" l="1"/>
  <c r="B13" i="2"/>
  <c r="C13" i="2"/>
  <c r="D13" i="2"/>
  <c r="B14" i="2"/>
  <c r="C14" i="2"/>
  <c r="D14" i="2"/>
  <c r="B15" i="2"/>
  <c r="C15" i="2"/>
  <c r="D15" i="2"/>
  <c r="B16" i="2"/>
  <c r="C16" i="2"/>
  <c r="D16" i="2"/>
  <c r="D12" i="2"/>
  <c r="C12" i="2"/>
  <c r="D19" i="1"/>
  <c r="D18" i="1"/>
  <c r="C19" i="1"/>
  <c r="B19" i="1"/>
  <c r="C18" i="1"/>
  <c r="B18" i="1"/>
</calcChain>
</file>

<file path=xl/sharedStrings.xml><?xml version="1.0" encoding="utf-8"?>
<sst xmlns="http://schemas.openxmlformats.org/spreadsheetml/2006/main" count="50" uniqueCount="22">
  <si>
    <t>G model</t>
  </si>
  <si>
    <t>NH1</t>
  </si>
  <si>
    <t>NH2</t>
  </si>
  <si>
    <t>StVK</t>
  </si>
  <si>
    <t>Default</t>
  </si>
  <si>
    <t>Guth</t>
  </si>
  <si>
    <t>Mooney</t>
  </si>
  <si>
    <t>Kerner</t>
  </si>
  <si>
    <t>Wheel</t>
  </si>
  <si>
    <t>Gripper</t>
  </si>
  <si>
    <t>Micro</t>
  </si>
  <si>
    <t>Small</t>
  </si>
  <si>
    <t>Medium</t>
  </si>
  <si>
    <t>Large</t>
  </si>
  <si>
    <t>Relative Difference from Default</t>
  </si>
  <si>
    <t>Where:</t>
  </si>
  <si>
    <t xml:space="preserve">% Diff = abs( (Ug-Ud)/Ud) </t>
  </si>
  <si>
    <t>Load Magnitude</t>
  </si>
  <si>
    <t>Magnetized Tip</t>
  </si>
  <si>
    <t>Load Case</t>
  </si>
  <si>
    <t>Beam Comparison with NH2 Constant</t>
  </si>
  <si>
    <t>Geometry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</si>
</sst>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70" formatCode="0.000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1" applyNumberFormat="1" applyFont="1"/>
    <xf numFmtId="0" fontId="2" fillId="0" borderId="0" xfId="0" applyFont="1"/>
    <xf numFmtId="2" fontId="0" fillId="0" borderId="0" xfId="0" applyNumberFormat="1"/>
    <xf numFmtId="170" fontId="0" fillId="0" borderId="0" xfId="0" applyNumberFormat="1"/>
  </cellXfs>
  <cellStyles count="2">
    <cellStyle name="Normal" xfId="0" builtinId="0"/>
    <cellStyle name="Percent" xfId="1" builtinId="5"/>
  </cellStyles>
  <dxfs count="18">
    <dxf>
      <numFmt numFmtId="170" formatCode="0.000"/>
    </dxf>
    <dxf>
      <numFmt numFmtId="170" formatCode="0.000"/>
    </dxf>
    <dxf>
      <numFmt numFmtId="170" formatCode="0.000"/>
    </dxf>
    <dxf>
      <numFmt numFmtId="170" formatCode="0.000"/>
    </dxf>
    <dxf>
      <numFmt numFmtId="170" formatCode="0.000"/>
    </dxf>
    <dxf>
      <numFmt numFmtId="170" formatCode="0.000"/>
    </dxf>
    <dxf>
      <numFmt numFmtId="2" formatCode="0.00"/>
    </dxf>
    <dxf>
      <numFmt numFmtId="2" formatCode="0.00"/>
    </dxf>
    <dxf>
      <numFmt numFmtId="2" formatCode="0.00"/>
    </dxf>
    <dxf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64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 Affect on Wheel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Wheel_Gripper_Comparison!$B$2</c:f>
              <c:strCache>
                <c:ptCount val="1"/>
                <c:pt idx="0">
                  <c:v>NH1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Wheel_Gripper_Comparison!$A$3:$A$6</c:f>
              <c:strCache>
                <c:ptCount val="4"/>
                <c:pt idx="0">
                  <c:v>Default</c:v>
                </c:pt>
                <c:pt idx="1">
                  <c:v>Guth</c:v>
                </c:pt>
                <c:pt idx="2">
                  <c:v>Mooney</c:v>
                </c:pt>
                <c:pt idx="3">
                  <c:v>Kerner</c:v>
                </c:pt>
              </c:strCache>
            </c:strRef>
          </c:cat>
          <c:val>
            <c:numRef>
              <c:f>Wheel_Gripper_Comparison!$B$3:$B$6</c:f>
              <c:numCache>
                <c:formatCode>0.000</c:formatCode>
                <c:ptCount val="4"/>
                <c:pt idx="0">
                  <c:v>9.5284951539999998</c:v>
                </c:pt>
                <c:pt idx="1">
                  <c:v>6.9729490089999997</c:v>
                </c:pt>
                <c:pt idx="2">
                  <c:v>6.53033866</c:v>
                </c:pt>
                <c:pt idx="3">
                  <c:v>7.986455479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B9-45DC-9AD6-FEEC0DA39DC3}"/>
            </c:ext>
          </c:extLst>
        </c:ser>
        <c:ser>
          <c:idx val="1"/>
          <c:order val="1"/>
          <c:tx>
            <c:strRef>
              <c:f>Wheel_Gripper_Comparison!$C$2</c:f>
              <c:strCache>
                <c:ptCount val="1"/>
                <c:pt idx="0">
                  <c:v>NH2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Wheel_Gripper_Comparison!$A$3:$A$6</c:f>
              <c:strCache>
                <c:ptCount val="4"/>
                <c:pt idx="0">
                  <c:v>Default</c:v>
                </c:pt>
                <c:pt idx="1">
                  <c:v>Guth</c:v>
                </c:pt>
                <c:pt idx="2">
                  <c:v>Mooney</c:v>
                </c:pt>
                <c:pt idx="3">
                  <c:v>Kerner</c:v>
                </c:pt>
              </c:strCache>
            </c:strRef>
          </c:cat>
          <c:val>
            <c:numRef>
              <c:f>Wheel_Gripper_Comparison!$C$3:$C$6</c:f>
              <c:numCache>
                <c:formatCode>0.000</c:formatCode>
                <c:ptCount val="4"/>
                <c:pt idx="0">
                  <c:v>9.5289460140000006</c:v>
                </c:pt>
                <c:pt idx="1">
                  <c:v>6.9738571880000002</c:v>
                </c:pt>
                <c:pt idx="2">
                  <c:v>6.5313767699999996</c:v>
                </c:pt>
                <c:pt idx="3">
                  <c:v>7.9871286640000001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B9-45DC-9AD6-FEEC0DA39DC3}"/>
            </c:ext>
          </c:extLst>
        </c:ser>
        <c:ser>
          <c:idx val="2"/>
          <c:order val="2"/>
          <c:tx>
            <c:strRef>
              <c:f>Wheel_Gripper_Comparison!$D$2</c:f>
              <c:strCache>
                <c:ptCount val="1"/>
                <c:pt idx="0">
                  <c:v>StVK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Wheel_Gripper_Comparison!$A$3:$A$6</c:f>
              <c:strCache>
                <c:ptCount val="4"/>
                <c:pt idx="0">
                  <c:v>Default</c:v>
                </c:pt>
                <c:pt idx="1">
                  <c:v>Guth</c:v>
                </c:pt>
                <c:pt idx="2">
                  <c:v>Mooney</c:v>
                </c:pt>
                <c:pt idx="3">
                  <c:v>Kerner</c:v>
                </c:pt>
              </c:strCache>
            </c:strRef>
          </c:cat>
          <c:val>
            <c:numRef>
              <c:f>Wheel_Gripper_Comparison!$D$3:$D$6</c:f>
              <c:numCache>
                <c:formatCode>0.000</c:formatCode>
                <c:ptCount val="4"/>
                <c:pt idx="0">
                  <c:v>9.6586474239999998</c:v>
                </c:pt>
                <c:pt idx="1">
                  <c:v>6.9651783140000001</c:v>
                </c:pt>
                <c:pt idx="2">
                  <c:v>6.5110522409999998</c:v>
                </c:pt>
                <c:pt idx="3">
                  <c:v>8.0195223710000008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B9-45DC-9AD6-FEEC0DA39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4455520"/>
        <c:axId val="594456000"/>
      </c:barChart>
      <c:catAx>
        <c:axId val="59445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Shear Modulus Relation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456000"/>
        <c:crosses val="autoZero"/>
        <c:auto val="1"/>
        <c:lblAlgn val="ctr"/>
        <c:lblOffset val="100"/>
        <c:noMultiLvlLbl val="0"/>
      </c:catAx>
      <c:valAx>
        <c:axId val="5944560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baseline="0"/>
                  <a:t>Average Displacement Magnitude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45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Model Affect on Gripper Displacement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Wheel_Gripper_Comparison!$B$9</c:f>
              <c:strCache>
                <c:ptCount val="1"/>
                <c:pt idx="0">
                  <c:v>NH1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Wheel_Gripper_Comparison!$A$10:$A$13</c:f>
              <c:strCache>
                <c:ptCount val="4"/>
                <c:pt idx="0">
                  <c:v>Default</c:v>
                </c:pt>
                <c:pt idx="1">
                  <c:v>Guth</c:v>
                </c:pt>
                <c:pt idx="2">
                  <c:v>Mooney</c:v>
                </c:pt>
                <c:pt idx="3">
                  <c:v>Kerner</c:v>
                </c:pt>
              </c:strCache>
            </c:strRef>
          </c:cat>
          <c:val>
            <c:numRef>
              <c:f>Wheel_Gripper_Comparison!$B$10:$B$13</c:f>
              <c:numCache>
                <c:formatCode>0.000</c:formatCode>
                <c:ptCount val="4"/>
                <c:pt idx="0">
                  <c:v>18.421462741213698</c:v>
                </c:pt>
                <c:pt idx="1">
                  <c:v>17.266254811593701</c:v>
                </c:pt>
                <c:pt idx="2">
                  <c:v>17.154739436798899</c:v>
                </c:pt>
                <c:pt idx="3">
                  <c:v>17.596416562498199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272-4359-AC1C-A354B97A2524}"/>
            </c:ext>
          </c:extLst>
        </c:ser>
        <c:ser>
          <c:idx val="1"/>
          <c:order val="1"/>
          <c:tx>
            <c:strRef>
              <c:f>Wheel_Gripper_Comparison!$C$9</c:f>
              <c:strCache>
                <c:ptCount val="1"/>
                <c:pt idx="0">
                  <c:v>NH2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Wheel_Gripper_Comparison!$A$10:$A$13</c:f>
              <c:strCache>
                <c:ptCount val="4"/>
                <c:pt idx="0">
                  <c:v>Default</c:v>
                </c:pt>
                <c:pt idx="1">
                  <c:v>Guth</c:v>
                </c:pt>
                <c:pt idx="2">
                  <c:v>Mooney</c:v>
                </c:pt>
                <c:pt idx="3">
                  <c:v>Kerner</c:v>
                </c:pt>
              </c:strCache>
            </c:strRef>
          </c:cat>
          <c:val>
            <c:numRef>
              <c:f>Wheel_Gripper_Comparison!$C$10:$C$13</c:f>
              <c:numCache>
                <c:formatCode>0.000</c:formatCode>
                <c:ptCount val="4"/>
                <c:pt idx="0">
                  <c:v>18.416951952933001</c:v>
                </c:pt>
                <c:pt idx="1">
                  <c:v>17.267316870122901</c:v>
                </c:pt>
                <c:pt idx="2">
                  <c:v>17.157242310400498</c:v>
                </c:pt>
                <c:pt idx="3">
                  <c:v>17.5947611027206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272-4359-AC1C-A354B97A2524}"/>
            </c:ext>
          </c:extLst>
        </c:ser>
        <c:ser>
          <c:idx val="2"/>
          <c:order val="2"/>
          <c:tx>
            <c:strRef>
              <c:f>Wheel_Gripper_Comparison!$D$9</c:f>
              <c:strCache>
                <c:ptCount val="1"/>
                <c:pt idx="0">
                  <c:v>StVK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Wheel_Gripper_Comparison!$A$10:$A$13</c:f>
              <c:strCache>
                <c:ptCount val="4"/>
                <c:pt idx="0">
                  <c:v>Default</c:v>
                </c:pt>
                <c:pt idx="1">
                  <c:v>Guth</c:v>
                </c:pt>
                <c:pt idx="2">
                  <c:v>Mooney</c:v>
                </c:pt>
                <c:pt idx="3">
                  <c:v>Kerner</c:v>
                </c:pt>
              </c:strCache>
            </c:strRef>
          </c:cat>
          <c:val>
            <c:numRef>
              <c:f>Wheel_Gripper_Comparison!$D$10:$D$13</c:f>
              <c:numCache>
                <c:formatCode>0.000</c:formatCode>
                <c:ptCount val="4"/>
                <c:pt idx="0">
                  <c:v>18.475893918431499</c:v>
                </c:pt>
                <c:pt idx="1">
                  <c:v>17.345315007912301</c:v>
                </c:pt>
                <c:pt idx="2">
                  <c:v>17.237104830960799</c:v>
                </c:pt>
                <c:pt idx="3">
                  <c:v>17.667195454988001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272-4359-AC1C-A354B97A2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065152"/>
        <c:axId val="750081472"/>
      </c:barChart>
      <c:catAx>
        <c:axId val="7500651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Shear Modulus Relation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081472"/>
        <c:crosses val="autoZero"/>
        <c:auto val="1"/>
        <c:lblAlgn val="ctr"/>
        <c:lblOffset val="100"/>
        <c:noMultiLvlLbl val="0"/>
      </c:catAx>
      <c:valAx>
        <c:axId val="75008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Displacement Magnitude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065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Model Affect on Beam Loading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Beam_Comparison!$B$2</c:f>
              <c:strCache>
                <c:ptCount val="1"/>
                <c:pt idx="0">
                  <c:v>Default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Beam_Comparison!$A$3:$A$7</c:f>
              <c:strCache>
                <c:ptCount val="5"/>
                <c:pt idx="0">
                  <c:v>Micro</c:v>
                </c:pt>
                <c:pt idx="1">
                  <c:v>Small</c:v>
                </c:pt>
                <c:pt idx="2">
                  <c:v>Medium</c:v>
                </c:pt>
                <c:pt idx="3">
                  <c:v>Large</c:v>
                </c:pt>
                <c:pt idx="4">
                  <c:v>Magnetized Tip</c:v>
                </c:pt>
              </c:strCache>
            </c:strRef>
          </c:cat>
          <c:val>
            <c:numRef>
              <c:f>Beam_Comparison!$B$3:$B$7</c:f>
              <c:numCache>
                <c:formatCode>0.00</c:formatCode>
                <c:ptCount val="5"/>
                <c:pt idx="0">
                  <c:v>1.3491828990000001</c:v>
                </c:pt>
                <c:pt idx="1">
                  <c:v>4.5914016670000004</c:v>
                </c:pt>
                <c:pt idx="2">
                  <c:v>7.0140517329999996</c:v>
                </c:pt>
                <c:pt idx="3">
                  <c:v>9.2493070320000008</c:v>
                </c:pt>
                <c:pt idx="4">
                  <c:v>4.3528580320000003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98-4C37-9E1D-F5C77775023A}"/>
            </c:ext>
          </c:extLst>
        </c:ser>
        <c:ser>
          <c:idx val="1"/>
          <c:order val="1"/>
          <c:tx>
            <c:strRef>
              <c:f>Beam_Comparison!$C$2</c:f>
              <c:strCache>
                <c:ptCount val="1"/>
                <c:pt idx="0">
                  <c:v>Guth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Beam_Comparison!$A$3:$A$7</c:f>
              <c:strCache>
                <c:ptCount val="5"/>
                <c:pt idx="0">
                  <c:v>Micro</c:v>
                </c:pt>
                <c:pt idx="1">
                  <c:v>Small</c:v>
                </c:pt>
                <c:pt idx="2">
                  <c:v>Medium</c:v>
                </c:pt>
                <c:pt idx="3">
                  <c:v>Large</c:v>
                </c:pt>
                <c:pt idx="4">
                  <c:v>Magnetized Tip</c:v>
                </c:pt>
              </c:strCache>
            </c:strRef>
          </c:cat>
          <c:val>
            <c:numRef>
              <c:f>Beam_Comparison!$C$3:$C$7</c:f>
              <c:numCache>
                <c:formatCode>0.00</c:formatCode>
                <c:ptCount val="5"/>
                <c:pt idx="0">
                  <c:v>0.47367235699999999</c:v>
                </c:pt>
                <c:pt idx="1">
                  <c:v>1.848991979</c:v>
                </c:pt>
                <c:pt idx="2">
                  <c:v>3.45726975</c:v>
                </c:pt>
                <c:pt idx="3">
                  <c:v>5.7607147589999999</c:v>
                </c:pt>
                <c:pt idx="4">
                  <c:v>4.3642715169999997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898-4C37-9E1D-F5C77775023A}"/>
            </c:ext>
          </c:extLst>
        </c:ser>
        <c:ser>
          <c:idx val="2"/>
          <c:order val="2"/>
          <c:tx>
            <c:strRef>
              <c:f>Beam_Comparison!$D$2</c:f>
              <c:strCache>
                <c:ptCount val="1"/>
                <c:pt idx="0">
                  <c:v>Mooney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Beam_Comparison!$A$3:$A$7</c:f>
              <c:strCache>
                <c:ptCount val="5"/>
                <c:pt idx="0">
                  <c:v>Micro</c:v>
                </c:pt>
                <c:pt idx="1">
                  <c:v>Small</c:v>
                </c:pt>
                <c:pt idx="2">
                  <c:v>Medium</c:v>
                </c:pt>
                <c:pt idx="3">
                  <c:v>Large</c:v>
                </c:pt>
                <c:pt idx="4">
                  <c:v>Magnetized Tip</c:v>
                </c:pt>
              </c:strCache>
            </c:strRef>
          </c:cat>
          <c:val>
            <c:numRef>
              <c:f>Beam_Comparison!$D$3:$D$7</c:f>
              <c:numCache>
                <c:formatCode>0.00</c:formatCode>
                <c:ptCount val="5"/>
                <c:pt idx="0">
                  <c:v>0.40781563900000001</c:v>
                </c:pt>
                <c:pt idx="1">
                  <c:v>1.6018056789999999</c:v>
                </c:pt>
                <c:pt idx="2">
                  <c:v>3.0412965669999998</c:v>
                </c:pt>
                <c:pt idx="3">
                  <c:v>5.229179222</c:v>
                </c:pt>
                <c:pt idx="4">
                  <c:v>4.3652269190000004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898-4C37-9E1D-F5C77775023A}"/>
            </c:ext>
          </c:extLst>
        </c:ser>
        <c:ser>
          <c:idx val="3"/>
          <c:order val="3"/>
          <c:tx>
            <c:strRef>
              <c:f>Beam_Comparison!$E$2</c:f>
              <c:strCache>
                <c:ptCount val="1"/>
                <c:pt idx="0">
                  <c:v>Kerner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Beam_Comparison!$A$3:$A$7</c:f>
              <c:strCache>
                <c:ptCount val="5"/>
                <c:pt idx="0">
                  <c:v>Micro</c:v>
                </c:pt>
                <c:pt idx="1">
                  <c:v>Small</c:v>
                </c:pt>
                <c:pt idx="2">
                  <c:v>Medium</c:v>
                </c:pt>
                <c:pt idx="3">
                  <c:v>Large</c:v>
                </c:pt>
                <c:pt idx="4">
                  <c:v>Magnetized Tip</c:v>
                </c:pt>
              </c:strCache>
            </c:strRef>
          </c:cat>
          <c:val>
            <c:numRef>
              <c:f>Beam_Comparison!$E$3:$E$7</c:f>
              <c:numCache>
                <c:formatCode>0.00</c:formatCode>
                <c:ptCount val="5"/>
                <c:pt idx="0">
                  <c:v>0.68377695299999997</c:v>
                </c:pt>
                <c:pt idx="1">
                  <c:v>2.6036390140000001</c:v>
                </c:pt>
                <c:pt idx="2">
                  <c:v>4.6174345839999997</c:v>
                </c:pt>
                <c:pt idx="3">
                  <c:v>7.0634611239999998</c:v>
                </c:pt>
                <c:pt idx="4">
                  <c:v>4.361258791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898-4C37-9E1D-F5C777750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50108832"/>
        <c:axId val="750109792"/>
      </c:barChart>
      <c:catAx>
        <c:axId val="75010883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Beam Load Case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09792"/>
        <c:crosses val="autoZero"/>
        <c:auto val="1"/>
        <c:lblAlgn val="ctr"/>
        <c:lblOffset val="100"/>
        <c:noMultiLvlLbl val="0"/>
      </c:catAx>
      <c:valAx>
        <c:axId val="750109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Average Displacement Magnitude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010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605118</xdr:colOff>
      <xdr:row>0</xdr:row>
      <xdr:rowOff>0</xdr:rowOff>
    </xdr:from>
    <xdr:to>
      <xdr:col>11</xdr:col>
      <xdr:colOff>168086</xdr:colOff>
      <xdr:row>12</xdr:row>
      <xdr:rowOff>119530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FAF1678-048B-99B1-5FFA-4A7DADBE3E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605118</xdr:colOff>
      <xdr:row>12</xdr:row>
      <xdr:rowOff>127000</xdr:rowOff>
    </xdr:from>
    <xdr:to>
      <xdr:col>11</xdr:col>
      <xdr:colOff>179294</xdr:colOff>
      <xdr:row>25</xdr:row>
      <xdr:rowOff>89647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C12985BF-C736-6E55-C16B-BD73B67BC1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228600</xdr:colOff>
      <xdr:row>1</xdr:row>
      <xdr:rowOff>3810</xdr:rowOff>
    </xdr:from>
    <xdr:to>
      <xdr:col>13</xdr:col>
      <xdr:colOff>304800</xdr:colOff>
      <xdr:row>17</xdr:row>
      <xdr:rowOff>160020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797E3E9-AF31-FAFC-1992-18F75FFCB1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CA44438-3D2B-49C3-AEC5-368563795A38}" name="Table3" displayName="Table3" ref="A2:D6" totalsRowShown="0">
  <autoFilter ref="A2:D6" xr:uid="{FCA44438-3D2B-49C3-AEC5-368563795A38}"/>
  <tableColumns count="4">
    <tableColumn id="1" xr3:uid="{10BE39A2-D58C-4415-B31A-E7D54B6146B7}" name="G model"/>
    <tableColumn id="2" xr3:uid="{82D8A7D9-165E-49C3-9BBA-5C7CCF4E0B90}" name="NH1" dataDxfId="5"/>
    <tableColumn id="3" xr3:uid="{6FA4CC7A-F19D-4051-8004-C8A708C3ABF0}" name="NH2" dataDxfId="4"/>
    <tableColumn id="4" xr3:uid="{34A0C971-0CE5-4343-A781-B6485D9A649A}" name="StVK" dataDxfId="3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98B1F19-8AAE-4F39-9AE7-0F32C71F1F3F}" name="Table4" displayName="Table4" ref="A9:D13" totalsRowShown="0">
  <autoFilter ref="A9:D13" xr:uid="{F98B1F19-8AAE-4F39-9AE7-0F32C71F1F3F}"/>
  <tableColumns count="4">
    <tableColumn id="1" xr3:uid="{72E8BBB5-8A10-4EFF-B75B-A9B4347ABF4C}" name="G model"/>
    <tableColumn id="2" xr3:uid="{C4C5C7A6-8547-4AA4-B067-90B7D8E52B95}" name="NH1" dataDxfId="2"/>
    <tableColumn id="3" xr3:uid="{8A9876E2-2BE6-4BFE-9FE6-00BCC5A4596A}" name="NH2" dataDxfId="1"/>
    <tableColumn id="4" xr3:uid="{D52BB815-B6A5-494E-B26C-07E95A6CF888}" name="StVK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839363F-B9B0-4E99-BC21-6BC51B855E48}" name="Table5" displayName="Table5" ref="A17:D19" totalsRowShown="0" dataDxfId="17" dataCellStyle="Percent">
  <autoFilter ref="A17:D19" xr:uid="{4839363F-B9B0-4E99-BC21-6BC51B855E48}"/>
  <tableColumns count="4">
    <tableColumn id="1" xr3:uid="{B47D74DD-FA03-4401-964F-485ABBC8E85E}" name="Geometry"/>
    <tableColumn id="2" xr3:uid="{BF908CE0-ED53-49DD-A803-878A9E9653F4}" name="Guth" dataDxfId="16" dataCellStyle="Percent">
      <calculatedColumnFormula>ABS((C10-C9)/C9)</calculatedColumnFormula>
    </tableColumn>
    <tableColumn id="3" xr3:uid="{AF3E19AD-0890-4D34-BDED-1E7928398A92}" name="Mooney" dataDxfId="15" dataCellStyle="Percent">
      <calculatedColumnFormula>ABS((C11-C9)/C9)</calculatedColumnFormula>
    </tableColumn>
    <tableColumn id="4" xr3:uid="{DC2B6ECF-0580-4856-8BBB-9CF67ABFE4F0}" name="Kerner" dataDxfId="14" dataCellStyle="Percent">
      <calculatedColumnFormula>ABS((C12-C9)/C9)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7F43FC-C4CD-4ACA-AC46-2B709B2BCAD5}" name="Table1" displayName="Table1" ref="A11:D16" totalsRowShown="0" dataDxfId="13" dataCellStyle="Percent">
  <autoFilter ref="A11:D16" xr:uid="{4B7F43FC-C4CD-4ACA-AC46-2B709B2BCAD5}"/>
  <tableColumns count="4">
    <tableColumn id="1" xr3:uid="{1C96DD68-5388-41C8-80A4-631AF2530025}" name="Load Case"/>
    <tableColumn id="2" xr3:uid="{C0C49FD7-8D17-437F-88C8-BB6258B99219}" name="Guth" dataDxfId="12" dataCellStyle="Percent">
      <calculatedColumnFormula>ABS((C3-B3)/B3)</calculatedColumnFormula>
    </tableColumn>
    <tableColumn id="3" xr3:uid="{CB5631BD-80FB-4B0B-BC78-3E45F11C5622}" name="Mooney" dataDxfId="11" dataCellStyle="Percent">
      <calculatedColumnFormula>ABS((D3-B3)/B3)</calculatedColumnFormula>
    </tableColumn>
    <tableColumn id="4" xr3:uid="{64489D84-8154-4AB7-B213-01F3A56C4E26}" name="Kerner" dataDxfId="10" dataCellStyle="Percent">
      <calculatedColumnFormula>ABS((E3-B3)/B3)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636F957-79EA-4A9C-A088-0551A65C1F5C}" name="Table2" displayName="Table2" ref="A2:E7" totalsRowShown="0">
  <autoFilter ref="A2:E7" xr:uid="{1636F957-79EA-4A9C-A088-0551A65C1F5C}"/>
  <tableColumns count="5">
    <tableColumn id="1" xr3:uid="{BBB9A9AD-3816-4FCF-910B-BC91E45978F8}" name="Load Magnitude"/>
    <tableColumn id="2" xr3:uid="{C2C97874-87BF-4F49-8E77-46CBD4B4BE4A}" name="Default" dataDxfId="9"/>
    <tableColumn id="3" xr3:uid="{2269703A-CD27-4542-B024-242B1A805057}" name="Guth" dataDxfId="8"/>
    <tableColumn id="4" xr3:uid="{CF64BBBD-0D58-4197-9737-466E1D604376}" name="Mooney" dataDxfId="7"/>
    <tableColumn id="5" xr3:uid="{2F62C0DF-5422-48A6-88EC-800D14AC8CAF}" name="Kerner" dataDxfId="6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E2C64-06DF-4408-84BC-5CD53FB648D2}">
  <dimension ref="A1:D21"/>
  <sheetViews>
    <sheetView tabSelected="1" zoomScale="112" workbookViewId="0">
      <selection activeCell="C23" sqref="C23"/>
    </sheetView>
  </sheetViews>
  <sheetFormatPr defaultRowHeight="14.4" x14ac:dyDescent="0.3"/>
  <cols>
    <col min="1" max="1" width="12.77734375" customWidth="1"/>
    <col min="2" max="2" width="12.6640625" customWidth="1"/>
    <col min="3" max="3" width="10.77734375" customWidth="1"/>
    <col min="4" max="4" width="12.33203125" customWidth="1"/>
  </cols>
  <sheetData>
    <row r="1" spans="1:4" x14ac:dyDescent="0.3">
      <c r="A1" s="2" t="s">
        <v>8</v>
      </c>
    </row>
    <row r="2" spans="1:4" x14ac:dyDescent="0.3">
      <c r="A2" t="s">
        <v>0</v>
      </c>
      <c r="B2" t="s">
        <v>1</v>
      </c>
      <c r="C2" t="s">
        <v>2</v>
      </c>
      <c r="D2" t="s">
        <v>3</v>
      </c>
    </row>
    <row r="3" spans="1:4" x14ac:dyDescent="0.3">
      <c r="A3" t="s">
        <v>4</v>
      </c>
      <c r="B3" s="4">
        <v>9.5284951539999998</v>
      </c>
      <c r="C3" s="4">
        <v>9.5289460140000006</v>
      </c>
      <c r="D3" s="4">
        <v>9.6586474239999998</v>
      </c>
    </row>
    <row r="4" spans="1:4" x14ac:dyDescent="0.3">
      <c r="A4" t="s">
        <v>5</v>
      </c>
      <c r="B4" s="4">
        <v>6.9729490089999997</v>
      </c>
      <c r="C4" s="4">
        <v>6.9738571880000002</v>
      </c>
      <c r="D4" s="4">
        <v>6.9651783140000001</v>
      </c>
    </row>
    <row r="5" spans="1:4" x14ac:dyDescent="0.3">
      <c r="A5" t="s">
        <v>6</v>
      </c>
      <c r="B5" s="4">
        <v>6.53033866</v>
      </c>
      <c r="C5" s="4">
        <v>6.5313767699999996</v>
      </c>
      <c r="D5" s="4">
        <v>6.5110522409999998</v>
      </c>
    </row>
    <row r="6" spans="1:4" x14ac:dyDescent="0.3">
      <c r="A6" t="s">
        <v>7</v>
      </c>
      <c r="B6" s="4">
        <v>7.986455479</v>
      </c>
      <c r="C6" s="4">
        <v>7.9871286640000001</v>
      </c>
      <c r="D6" s="4">
        <v>8.0195223710000008</v>
      </c>
    </row>
    <row r="8" spans="1:4" x14ac:dyDescent="0.3">
      <c r="A8" s="2" t="s">
        <v>9</v>
      </c>
    </row>
    <row r="9" spans="1:4" x14ac:dyDescent="0.3">
      <c r="A9" t="s">
        <v>0</v>
      </c>
      <c r="B9" t="s">
        <v>1</v>
      </c>
      <c r="C9" t="s">
        <v>2</v>
      </c>
      <c r="D9" t="s">
        <v>3</v>
      </c>
    </row>
    <row r="10" spans="1:4" x14ac:dyDescent="0.3">
      <c r="A10" t="s">
        <v>4</v>
      </c>
      <c r="B10" s="4">
        <v>18.421462741213698</v>
      </c>
      <c r="C10" s="4">
        <v>18.416951952933001</v>
      </c>
      <c r="D10" s="4">
        <v>18.475893918431499</v>
      </c>
    </row>
    <row r="11" spans="1:4" x14ac:dyDescent="0.3">
      <c r="A11" t="s">
        <v>5</v>
      </c>
      <c r="B11" s="4">
        <v>17.266254811593701</v>
      </c>
      <c r="C11" s="4">
        <v>17.267316870122901</v>
      </c>
      <c r="D11" s="4">
        <v>17.345315007912301</v>
      </c>
    </row>
    <row r="12" spans="1:4" x14ac:dyDescent="0.3">
      <c r="A12" t="s">
        <v>6</v>
      </c>
      <c r="B12" s="4">
        <v>17.154739436798899</v>
      </c>
      <c r="C12" s="4">
        <v>17.157242310400498</v>
      </c>
      <c r="D12" s="4">
        <v>17.237104830960799</v>
      </c>
    </row>
    <row r="13" spans="1:4" x14ac:dyDescent="0.3">
      <c r="A13" t="s">
        <v>7</v>
      </c>
      <c r="B13" s="4">
        <v>17.596416562498199</v>
      </c>
      <c r="C13" s="4">
        <v>17.5947611027206</v>
      </c>
      <c r="D13" s="4">
        <v>17.667195454988001</v>
      </c>
    </row>
    <row r="16" spans="1:4" x14ac:dyDescent="0.3">
      <c r="A16" s="2" t="s">
        <v>14</v>
      </c>
    </row>
    <row r="17" spans="1:4" x14ac:dyDescent="0.3">
      <c r="A17" t="s">
        <v>21</v>
      </c>
      <c r="B17" t="s">
        <v>5</v>
      </c>
      <c r="C17" t="s">
        <v>6</v>
      </c>
      <c r="D17" t="s">
        <v>7</v>
      </c>
    </row>
    <row r="18" spans="1:4" x14ac:dyDescent="0.3">
      <c r="A18" t="s">
        <v>8</v>
      </c>
      <c r="B18" s="1">
        <f>ABS((C4-C3)/C3)</f>
        <v>0.26813971054574604</v>
      </c>
      <c r="C18" s="1">
        <f>ABS((C5-C3)/C3)</f>
        <v>0.31457511036330243</v>
      </c>
      <c r="D18" s="1">
        <f>ABS((C6-C3)/C3)</f>
        <v>0.16180355600029117</v>
      </c>
    </row>
    <row r="19" spans="1:4" x14ac:dyDescent="0.3">
      <c r="A19" t="s">
        <v>9</v>
      </c>
      <c r="B19" s="1">
        <f>ABS((C11-C10)/C10)</f>
        <v>6.2422657438003161E-2</v>
      </c>
      <c r="C19" s="1">
        <f>ABS((C12-C10)/C10)</f>
        <v>6.8399464023789616E-2</v>
      </c>
      <c r="D19" s="1">
        <f>ABS((C13-C10)/C10)</f>
        <v>4.4643155518547271E-2</v>
      </c>
    </row>
    <row r="21" spans="1:4" x14ac:dyDescent="0.3">
      <c r="A21" s="2" t="s">
        <v>15</v>
      </c>
      <c r="B21" s="2" t="s">
        <v>16</v>
      </c>
      <c r="C21" s="2"/>
    </row>
  </sheetData>
  <pageMargins left="0.7" right="0.7" top="0.75" bottom="0.75" header="0.3" footer="0.3"/>
  <drawing r:id="rId1"/>
  <tableParts count="3">
    <tablePart r:id="rId2"/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947F8-C987-4940-9A4B-AF550FDBA414}">
  <dimension ref="A1:E18"/>
  <sheetViews>
    <sheetView workbookViewId="0">
      <selection activeCell="D22" sqref="D22"/>
    </sheetView>
  </sheetViews>
  <sheetFormatPr defaultRowHeight="14.4" x14ac:dyDescent="0.3"/>
  <cols>
    <col min="1" max="1" width="17" customWidth="1"/>
    <col min="2" max="2" width="15.77734375" customWidth="1"/>
    <col min="3" max="3" width="11.77734375" customWidth="1"/>
    <col min="4" max="4" width="12" bestFit="1" customWidth="1"/>
    <col min="5" max="5" width="10.88671875" customWidth="1"/>
  </cols>
  <sheetData>
    <row r="1" spans="1:5" x14ac:dyDescent="0.3">
      <c r="A1" s="2" t="s">
        <v>20</v>
      </c>
    </row>
    <row r="2" spans="1:5" x14ac:dyDescent="0.3">
      <c r="A2" t="s">
        <v>17</v>
      </c>
      <c r="B2" t="s">
        <v>4</v>
      </c>
      <c r="C2" t="s">
        <v>5</v>
      </c>
      <c r="D2" t="s">
        <v>6</v>
      </c>
      <c r="E2" t="s">
        <v>7</v>
      </c>
    </row>
    <row r="3" spans="1:5" x14ac:dyDescent="0.3">
      <c r="A3" t="s">
        <v>10</v>
      </c>
      <c r="B3" s="3">
        <v>1.3491828990000001</v>
      </c>
      <c r="C3" s="3">
        <v>0.47367235699999999</v>
      </c>
      <c r="D3" s="3">
        <v>0.40781563900000001</v>
      </c>
      <c r="E3" s="3">
        <v>0.68377695299999997</v>
      </c>
    </row>
    <row r="4" spans="1:5" x14ac:dyDescent="0.3">
      <c r="A4" t="s">
        <v>11</v>
      </c>
      <c r="B4" s="3">
        <v>4.5914016670000004</v>
      </c>
      <c r="C4" s="3">
        <v>1.848991979</v>
      </c>
      <c r="D4" s="3">
        <v>1.6018056789999999</v>
      </c>
      <c r="E4" s="3">
        <v>2.6036390140000001</v>
      </c>
    </row>
    <row r="5" spans="1:5" x14ac:dyDescent="0.3">
      <c r="A5" t="s">
        <v>12</v>
      </c>
      <c r="B5" s="3">
        <v>7.0140517329999996</v>
      </c>
      <c r="C5" s="3">
        <v>3.45726975</v>
      </c>
      <c r="D5" s="3">
        <v>3.0412965669999998</v>
      </c>
      <c r="E5" s="3">
        <v>4.6174345839999997</v>
      </c>
    </row>
    <row r="6" spans="1:5" x14ac:dyDescent="0.3">
      <c r="A6" t="s">
        <v>13</v>
      </c>
      <c r="B6" s="3">
        <v>9.2493070320000008</v>
      </c>
      <c r="C6" s="3">
        <v>5.7607147589999999</v>
      </c>
      <c r="D6" s="3">
        <v>5.229179222</v>
      </c>
      <c r="E6" s="3">
        <v>7.0634611239999998</v>
      </c>
    </row>
    <row r="7" spans="1:5" x14ac:dyDescent="0.3">
      <c r="A7" t="s">
        <v>18</v>
      </c>
      <c r="B7" s="3">
        <v>4.3528580320000003</v>
      </c>
      <c r="C7" s="3">
        <v>4.3642715169999997</v>
      </c>
      <c r="D7" s="3">
        <v>4.3652269190000004</v>
      </c>
      <c r="E7" s="3">
        <v>4.361258791</v>
      </c>
    </row>
    <row r="10" spans="1:5" x14ac:dyDescent="0.3">
      <c r="A10" s="2" t="s">
        <v>14</v>
      </c>
      <c r="B10" s="2"/>
    </row>
    <row r="11" spans="1:5" x14ac:dyDescent="0.3">
      <c r="A11" t="s">
        <v>19</v>
      </c>
      <c r="B11" t="s">
        <v>5</v>
      </c>
      <c r="C11" t="s">
        <v>6</v>
      </c>
      <c r="D11" t="s">
        <v>7</v>
      </c>
    </row>
    <row r="12" spans="1:5" x14ac:dyDescent="0.3">
      <c r="A12" t="s">
        <v>10</v>
      </c>
      <c r="B12" s="1">
        <f>ABS((C3-B3)/B3)</f>
        <v>0.64891909217713861</v>
      </c>
      <c r="C12" s="1">
        <f>ABS((D3-B3)/B3)</f>
        <v>0.69773139038282461</v>
      </c>
      <c r="D12" s="1">
        <f>ABS((E3-B3)/B3)</f>
        <v>0.49319180260377737</v>
      </c>
    </row>
    <row r="13" spans="1:5" x14ac:dyDescent="0.3">
      <c r="A13" t="s">
        <v>11</v>
      </c>
      <c r="B13" s="1">
        <f>ABS((C4-B4)/B4)</f>
        <v>0.59729247992190537</v>
      </c>
      <c r="C13" s="1">
        <f>ABS((D4-B4)/B4)</f>
        <v>0.65112926396469861</v>
      </c>
      <c r="D13" s="1">
        <f>ABS((E4-B4)/B4)</f>
        <v>0.43293155275147049</v>
      </c>
    </row>
    <row r="14" spans="1:5" x14ac:dyDescent="0.3">
      <c r="A14" t="s">
        <v>12</v>
      </c>
      <c r="B14" s="1">
        <f>ABS((C5-B5)/B5)</f>
        <v>0.50709377666348043</v>
      </c>
      <c r="C14" s="1">
        <f>ABS((D5-B5)/B5)</f>
        <v>0.56639946741607528</v>
      </c>
      <c r="D14" s="1">
        <f>ABS((E5-B5)/B5)</f>
        <v>0.34168797725347488</v>
      </c>
    </row>
    <row r="15" spans="1:5" x14ac:dyDescent="0.3">
      <c r="A15" t="s">
        <v>13</v>
      </c>
      <c r="B15" s="1">
        <f>ABS((C6-B6)/B6)</f>
        <v>0.37717336671065765</v>
      </c>
      <c r="C15" s="1">
        <f>ABS((D6-B6)/B6)</f>
        <v>0.43464097322010065</v>
      </c>
      <c r="D15" s="1">
        <f>ABS((E6-B6)/B6)</f>
        <v>0.23632537015341679</v>
      </c>
    </row>
    <row r="16" spans="1:5" x14ac:dyDescent="0.3">
      <c r="A16" t="s">
        <v>18</v>
      </c>
      <c r="B16" s="1">
        <f>ABS((C7-B7)/B7)</f>
        <v>2.6220669077863896E-3</v>
      </c>
      <c r="C16" s="1">
        <f>ABS((D7-B7)/B7)</f>
        <v>2.8415553434250045E-3</v>
      </c>
      <c r="D16" s="1">
        <f>ABS((E7-B7)/B7)</f>
        <v>1.9299409579273184E-3</v>
      </c>
    </row>
    <row r="18" spans="1:2" x14ac:dyDescent="0.3">
      <c r="A18" s="2" t="s">
        <v>15</v>
      </c>
      <c r="B18" s="2" t="s">
        <v>16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Wheel_Gripper_Comparison</vt:lpstr>
      <vt:lpstr>Beam_Comparison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Galloway, Ian B. - SDSMT Student</dc:creator>
  <cp:lastModifiedBy>Galloway, Ian B. - SDSMT Student</cp:lastModifiedBy>
  <dcterms:created xsi:type="dcterms:W3CDTF">2026-05-19T17:55:14Z</dcterms:created>
  <dcterms:modified xsi:type="dcterms:W3CDTF">2026-06-03T00:42:57Z</dcterms:modified>
</cp:coreProperties>
</file>